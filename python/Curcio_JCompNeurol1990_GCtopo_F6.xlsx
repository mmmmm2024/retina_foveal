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mocchi/retina_model-main-4/"/>
    </mc:Choice>
  </mc:AlternateContent>
  <xr:revisionPtr revIDLastSave="0" documentId="13_ncr:1_{624269B7-D1AB-7D41-A3DB-7B39B45C354E}" xr6:coauthVersionLast="47" xr6:coauthVersionMax="47" xr10:uidLastSave="{00000000-0000-0000-0000-000000000000}"/>
  <bookViews>
    <workbookView xWindow="17060" yWindow="3660" windowWidth="12340" windowHeight="15460" tabRatio="216" xr2:uid="{C9A5AF6F-52AA-874F-8445-82DCF7CA787A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6" i="1" l="1"/>
  <c r="AR36" i="1"/>
  <c r="AO37" i="1"/>
  <c r="AR37" i="1"/>
  <c r="AO38" i="1"/>
  <c r="AR38" i="1"/>
  <c r="AR39" i="1"/>
  <c r="AR40" i="1"/>
</calcChain>
</file>

<file path=xl/sharedStrings.xml><?xml version="1.0" encoding="utf-8"?>
<sst xmlns="http://schemas.openxmlformats.org/spreadsheetml/2006/main" count="11" uniqueCount="10">
  <si>
    <t>*disk*</t>
  </si>
  <si>
    <t>Temp.mean_GC/sq mm</t>
    <phoneticPr fontId="1"/>
  </si>
  <si>
    <t>Temp.SD_GC/sq mm</t>
    <phoneticPr fontId="1"/>
  </si>
  <si>
    <t>Ecc_mm</t>
    <phoneticPr fontId="1"/>
  </si>
  <si>
    <t>Sup.mean_GC/sq mm</t>
    <phoneticPr fontId="1"/>
  </si>
  <si>
    <t>Sup.SD_GC/sq mm</t>
    <phoneticPr fontId="1"/>
  </si>
  <si>
    <t>Nasal.mean_GC/sq mm</t>
    <phoneticPr fontId="1"/>
  </si>
  <si>
    <t>Nasal.SD_GC/sq mm</t>
    <phoneticPr fontId="1"/>
  </si>
  <si>
    <t>Inf.mean_GC/sq mm</t>
    <phoneticPr fontId="1"/>
  </si>
  <si>
    <t>Inf.SD_GC/sq mm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</si>
</sst>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  <family val="2"/>
    </font>
    <font>
      <sz val="6"/>
      <name val="Tsukushi A Round Gothic Bold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" fontId="0" fillId="0" borderId="0" xfId="0" applyNumberFormat="1"/>
    <xf numFmtId="49" fontId="0" fillId="0" borderId="0" xfId="0" applyNumberFormat="1" applyAlignment="1">
      <alignment horizontal="right"/>
    </xf>
  </cellXfs>
  <cellStyles count="1">
    <cellStyle name="標準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95610-FF95-4A48-9A6E-1A894AE06468}">
  <dimension ref="A1:AS43"/>
  <sheetViews>
    <sheetView tabSelected="1" topLeftCell="D1" workbookViewId="0"/>
  </sheetViews>
  <sheetFormatPr baseColWidth="10" defaultColWidth="9.5" defaultRowHeight="13"/>
  <cols>
    <col min="1" max="1" width="22.83203125" customWidth="1"/>
    <col min="2" max="2" width="18.1640625" customWidth="1"/>
    <col min="3" max="3" width="19" customWidth="1"/>
    <col min="4" max="4" width="25.33203125" customWidth="1"/>
    <col min="5" max="5" width="30" customWidth="1"/>
    <col min="6" max="6" width="24.5" customWidth="1"/>
    <col min="7" max="7" width="24.83203125" customWidth="1"/>
    <col min="8" max="8" width="24.33203125" customWidth="1"/>
    <col min="9" max="9" width="25.1640625" customWidth="1"/>
    <col min="10" max="12" width="11.5" customWidth="1"/>
    <col min="13" max="14" width="8" customWidth="1"/>
    <col min="15" max="15" width="2.5" customWidth="1"/>
    <col min="16" max="26" width="11.5" customWidth="1"/>
    <col min="27" max="27" width="2.5" customWidth="1"/>
    <col min="28" max="40" width="11.5" customWidth="1"/>
    <col min="41" max="41" width="7.5" customWidth="1"/>
    <col min="42" max="43" width="11.5" customWidth="1"/>
    <col min="44" max="44" width="8" customWidth="1"/>
    <col min="45" max="45" width="4.5" customWidth="1"/>
  </cols>
  <sheetData>
    <row r="1" spans="1:9">
      <c r="A1" t="s">
        <v>3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>
      <c r="A2" s="1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8.8596557494999997E-5</v>
      </c>
    </row>
    <row r="3" spans="1:9">
      <c r="A3" s="1">
        <v>5.0424999999999998E-2</v>
      </c>
      <c r="B3" s="2">
        <v>181.45699999999999</v>
      </c>
      <c r="C3" s="2">
        <v>405.75016505079822</v>
      </c>
      <c r="D3" s="2">
        <v>0</v>
      </c>
      <c r="E3" s="2">
        <v>0</v>
      </c>
      <c r="F3" s="2">
        <v>585.68200000000002</v>
      </c>
      <c r="G3" s="2">
        <v>1309.6300000000001</v>
      </c>
      <c r="H3" s="2">
        <v>497.30200000000002</v>
      </c>
      <c r="I3" s="2">
        <v>848.7952644748907</v>
      </c>
    </row>
    <row r="4" spans="1:9">
      <c r="A4" s="1">
        <v>0.10085</v>
      </c>
      <c r="B4" s="2">
        <v>652.09799999999996</v>
      </c>
      <c r="C4" s="2">
        <v>902.38447903041867</v>
      </c>
      <c r="D4" s="2">
        <v>0</v>
      </c>
      <c r="E4" s="2">
        <v>0</v>
      </c>
      <c r="F4" s="2">
        <v>1240.1579999999999</v>
      </c>
      <c r="G4" s="2">
        <v>2585.08</v>
      </c>
      <c r="H4" s="2">
        <v>1198.742</v>
      </c>
      <c r="I4" s="2">
        <v>1766.3937901258032</v>
      </c>
    </row>
    <row r="5" spans="1:9">
      <c r="A5" s="1">
        <v>0.15127499999999999</v>
      </c>
      <c r="B5" s="2">
        <v>1589.0540000000001</v>
      </c>
      <c r="C5" s="2">
        <v>1736.0110113000435</v>
      </c>
      <c r="D5" s="2">
        <v>380.154</v>
      </c>
      <c r="E5" s="2">
        <v>850.05068693284409</v>
      </c>
      <c r="F5" s="2">
        <v>2642.7</v>
      </c>
      <c r="G5" s="2">
        <v>4046.93</v>
      </c>
      <c r="H5" s="2">
        <v>3317.8599999999997</v>
      </c>
      <c r="I5" s="2">
        <v>4045.7392742859738</v>
      </c>
    </row>
    <row r="6" spans="1:9">
      <c r="A6" s="1">
        <v>0.20169999999999999</v>
      </c>
      <c r="B6" s="2">
        <v>4036.9199999999996</v>
      </c>
      <c r="C6" s="2">
        <v>1942.8834607356157</v>
      </c>
      <c r="D6" s="2">
        <v>1587.37</v>
      </c>
      <c r="E6" s="2">
        <v>3549.4676507717318</v>
      </c>
      <c r="F6" s="2">
        <v>4587.8599999999997</v>
      </c>
      <c r="G6" s="2">
        <v>5561.58</v>
      </c>
      <c r="H6" s="2">
        <v>6560.82</v>
      </c>
      <c r="I6" s="2">
        <v>6564.6440238218556</v>
      </c>
    </row>
    <row r="7" spans="1:9">
      <c r="A7" s="1">
        <v>0.30254999999999999</v>
      </c>
      <c r="B7" s="2">
        <v>10919.439999999999</v>
      </c>
      <c r="C7" s="2">
        <v>1562.7820091106807</v>
      </c>
      <c r="D7" s="2">
        <v>9309.42</v>
      </c>
      <c r="E7" s="2">
        <v>4695.649484309919</v>
      </c>
      <c r="F7" s="2">
        <v>13509.28</v>
      </c>
      <c r="G7" s="2">
        <v>3715.5</v>
      </c>
      <c r="H7" s="2">
        <v>14401.22</v>
      </c>
      <c r="I7" s="2">
        <v>5476.6393106995793</v>
      </c>
    </row>
    <row r="8" spans="1:9">
      <c r="A8" s="1">
        <v>0.40339999999999998</v>
      </c>
      <c r="B8" s="2">
        <v>16654.8</v>
      </c>
      <c r="C8" s="2">
        <v>2151.6380271783637</v>
      </c>
      <c r="D8" s="2">
        <v>18284.579999999998</v>
      </c>
      <c r="E8" s="2">
        <v>3700.3604931817185</v>
      </c>
      <c r="F8" s="2">
        <v>19406.2</v>
      </c>
      <c r="G8" s="2">
        <v>4087.08</v>
      </c>
      <c r="H8" s="2">
        <v>21427.200000000001</v>
      </c>
      <c r="I8" s="2">
        <v>4709.1798861372881</v>
      </c>
    </row>
    <row r="9" spans="1:9">
      <c r="A9" s="1">
        <v>0.50424999999999998</v>
      </c>
      <c r="B9" s="2">
        <v>21236</v>
      </c>
      <c r="C9" s="2">
        <v>3214.8685820729906</v>
      </c>
      <c r="D9" s="2">
        <v>24571.4</v>
      </c>
      <c r="E9" s="2">
        <v>3360.4876952609125</v>
      </c>
      <c r="F9" s="2">
        <v>24289</v>
      </c>
      <c r="G9" s="2">
        <v>3552.2</v>
      </c>
      <c r="H9" s="2">
        <v>26396.2</v>
      </c>
      <c r="I9" s="2">
        <v>4868.3448881524409</v>
      </c>
    </row>
    <row r="10" spans="1:9">
      <c r="A10" s="1">
        <v>0.60509999999999997</v>
      </c>
      <c r="B10" s="2">
        <v>22559.200000000001</v>
      </c>
      <c r="C10" s="2">
        <v>2517.0655931063861</v>
      </c>
      <c r="D10" s="2">
        <v>27180.799999999999</v>
      </c>
      <c r="E10" s="2">
        <v>1599.2620798355722</v>
      </c>
      <c r="F10" s="2">
        <v>26047.4</v>
      </c>
      <c r="G10" s="2">
        <v>3736.8</v>
      </c>
      <c r="H10" s="2">
        <v>27044.2</v>
      </c>
      <c r="I10" s="2">
        <v>4517.085116532563</v>
      </c>
    </row>
    <row r="11" spans="1:9">
      <c r="A11" s="1">
        <v>0.70594999999999997</v>
      </c>
      <c r="B11" s="2">
        <v>24093.4</v>
      </c>
      <c r="C11" s="2">
        <v>2376.4670311199352</v>
      </c>
      <c r="D11" s="2">
        <v>27825.599999999999</v>
      </c>
      <c r="E11" s="2">
        <v>1872.82695409907</v>
      </c>
      <c r="F11" s="2">
        <v>27703.8</v>
      </c>
      <c r="G11" s="2">
        <v>4149.32</v>
      </c>
      <c r="H11" s="2">
        <v>27558.799999999999</v>
      </c>
      <c r="I11" s="2">
        <v>4192.0374759775223</v>
      </c>
    </row>
    <row r="12" spans="1:9">
      <c r="A12" s="1">
        <v>0.80679999999999996</v>
      </c>
      <c r="B12" s="2">
        <v>25708.400000000001</v>
      </c>
      <c r="C12" s="2">
        <v>2992.1082533892386</v>
      </c>
      <c r="D12" s="2">
        <v>27907.8</v>
      </c>
      <c r="E12" s="2">
        <v>1975.6958141373889</v>
      </c>
      <c r="F12" s="2">
        <v>29453.599999999999</v>
      </c>
      <c r="G12" s="2">
        <v>3728.18</v>
      </c>
      <c r="H12" s="2">
        <v>28043</v>
      </c>
      <c r="I12" s="2">
        <v>4089.3384244887338</v>
      </c>
    </row>
    <row r="13" spans="1:9">
      <c r="A13" s="1">
        <v>0.90764999999999996</v>
      </c>
      <c r="B13" s="2">
        <v>26867.4</v>
      </c>
      <c r="C13" s="2">
        <v>4511.2106523637312</v>
      </c>
      <c r="D13" s="2">
        <v>28090.799999999999</v>
      </c>
      <c r="E13" s="2">
        <v>2210.4737501268819</v>
      </c>
      <c r="F13" s="2">
        <v>31116.2</v>
      </c>
      <c r="G13" s="2">
        <v>3602.45</v>
      </c>
      <c r="H13" s="2">
        <v>27991.599999999999</v>
      </c>
      <c r="I13" s="2">
        <v>4502.2674065408419</v>
      </c>
    </row>
    <row r="14" spans="1:9">
      <c r="A14" s="1">
        <v>1.0085</v>
      </c>
      <c r="B14" s="2">
        <v>26921.8</v>
      </c>
      <c r="C14" s="2">
        <v>5287.3297561245408</v>
      </c>
      <c r="D14" s="2">
        <v>27117.599999999999</v>
      </c>
      <c r="E14" s="2">
        <v>2769.4246333850642</v>
      </c>
      <c r="F14" s="2">
        <v>31544.2</v>
      </c>
      <c r="G14" s="2">
        <v>3229.06</v>
      </c>
      <c r="H14" s="2">
        <v>26503.599999999999</v>
      </c>
      <c r="I14" s="2">
        <v>4475.0959542785222</v>
      </c>
    </row>
    <row r="15" spans="1:9">
      <c r="A15" s="1">
        <v>1.51275</v>
      </c>
      <c r="B15" s="2">
        <v>22897</v>
      </c>
      <c r="C15" s="2">
        <v>4629.7125990713494</v>
      </c>
      <c r="D15" s="2">
        <v>18463.120000000003</v>
      </c>
      <c r="E15" s="2">
        <v>3762.8446462749357</v>
      </c>
      <c r="F15" s="2">
        <v>27490.799999999999</v>
      </c>
      <c r="G15" s="2">
        <v>4358.03</v>
      </c>
      <c r="H15" s="2">
        <v>18007.48</v>
      </c>
      <c r="I15" s="2">
        <v>4219.1029925803014</v>
      </c>
    </row>
    <row r="16" spans="1:9">
      <c r="A16" s="1">
        <v>2.0169999999999999</v>
      </c>
      <c r="B16" s="2">
        <v>16310.820000000002</v>
      </c>
      <c r="C16" s="2">
        <v>3914.8995720835487</v>
      </c>
      <c r="D16" s="2">
        <v>11622.18</v>
      </c>
      <c r="E16" s="2">
        <v>4412.8126019014207</v>
      </c>
      <c r="F16" s="2">
        <v>17036.7</v>
      </c>
      <c r="G16" s="2">
        <v>4463.3</v>
      </c>
      <c r="H16" s="2">
        <v>9746</v>
      </c>
      <c r="I16" s="2">
        <v>4641.5358449547712</v>
      </c>
    </row>
    <row r="17" spans="1:9">
      <c r="A17" s="1">
        <v>2.5212500000000002</v>
      </c>
      <c r="B17" s="2">
        <v>11292.6</v>
      </c>
      <c r="C17" s="2">
        <v>2432.9984689678699</v>
      </c>
      <c r="D17" s="2">
        <v>7885.7</v>
      </c>
      <c r="E17" s="2">
        <v>2524.7117434471602</v>
      </c>
      <c r="F17" s="2">
        <v>9984.24</v>
      </c>
      <c r="G17" s="2">
        <v>3489.19</v>
      </c>
      <c r="H17" s="2">
        <v>6597.3399999999992</v>
      </c>
      <c r="I17" s="2">
        <v>2725.7349752864839</v>
      </c>
    </row>
    <row r="18" spans="1:9">
      <c r="A18" s="1">
        <v>3.0255000000000001</v>
      </c>
      <c r="B18" s="2">
        <v>7992.6600000000008</v>
      </c>
      <c r="C18" s="2">
        <v>2180.9935019389645</v>
      </c>
      <c r="D18" s="2">
        <v>5786.92</v>
      </c>
      <c r="E18" s="2">
        <v>1723.9333345579244</v>
      </c>
      <c r="F18" s="2">
        <v>6549.4</v>
      </c>
      <c r="G18" s="2">
        <v>2980.3</v>
      </c>
      <c r="H18" s="2">
        <v>4228.08</v>
      </c>
      <c r="I18" s="2">
        <v>1781.9019030238439</v>
      </c>
    </row>
    <row r="19" spans="1:9">
      <c r="A19" s="1">
        <v>4.0339999999999998</v>
      </c>
      <c r="B19" s="2">
        <v>3920.9</v>
      </c>
      <c r="C19" s="2">
        <v>1625.201214465458</v>
      </c>
      <c r="D19" s="2">
        <v>3257.56</v>
      </c>
      <c r="E19" s="2">
        <v>558.3713441787653</v>
      </c>
      <c r="F19" s="3" t="s">
        <v>0</v>
      </c>
      <c r="G19" s="3" t="s">
        <v>0</v>
      </c>
      <c r="H19" s="2">
        <v>1971.3979999999999</v>
      </c>
      <c r="I19" s="2">
        <v>786.48738514676779</v>
      </c>
    </row>
    <row r="20" spans="1:9">
      <c r="A20" s="1">
        <v>5.0425000000000004</v>
      </c>
      <c r="B20" s="2">
        <v>2339.46</v>
      </c>
      <c r="C20" s="2">
        <v>1174.0032519120211</v>
      </c>
      <c r="D20" s="2">
        <v>2143.5</v>
      </c>
      <c r="E20" s="2">
        <v>414.10709665495955</v>
      </c>
      <c r="F20" s="2">
        <v>3294</v>
      </c>
      <c r="G20" s="2">
        <v>651.23299999999995</v>
      </c>
      <c r="H20" s="2">
        <v>1315.7739999999999</v>
      </c>
      <c r="I20" s="2">
        <v>544.47770951160169</v>
      </c>
    </row>
    <row r="21" spans="1:9">
      <c r="A21" s="1">
        <v>6.0510000000000002</v>
      </c>
      <c r="B21" s="2">
        <v>1667.2149999999999</v>
      </c>
      <c r="C21" s="2">
        <v>921.51624603150674</v>
      </c>
      <c r="D21" s="2">
        <v>1583.9775</v>
      </c>
      <c r="E21" s="2">
        <v>652.7789615622836</v>
      </c>
      <c r="F21" s="2">
        <v>3082.35</v>
      </c>
      <c r="G21" s="2">
        <v>592.07899999999995</v>
      </c>
      <c r="H21" s="2">
        <v>1009.8575</v>
      </c>
      <c r="I21" s="2">
        <v>629.92362467603971</v>
      </c>
    </row>
    <row r="22" spans="1:9">
      <c r="A22" s="1">
        <v>7.0594999999999999</v>
      </c>
      <c r="B22" s="2">
        <v>1138.7574999999999</v>
      </c>
      <c r="C22" s="2">
        <v>474.52271627218596</v>
      </c>
      <c r="D22" s="2">
        <v>1373.0525</v>
      </c>
      <c r="E22" s="2">
        <v>571.85876140150788</v>
      </c>
      <c r="F22" s="2">
        <v>2894.95</v>
      </c>
      <c r="G22" s="2">
        <v>893.13300000000004</v>
      </c>
      <c r="H22" s="2">
        <v>772.83749999999998</v>
      </c>
      <c r="I22" s="2">
        <v>588.68746500866939</v>
      </c>
    </row>
    <row r="23" spans="1:9">
      <c r="A23" s="1">
        <v>8.0679999999999996</v>
      </c>
      <c r="B23" s="2">
        <v>838.23500000000001</v>
      </c>
      <c r="C23" s="2">
        <v>401.40932521139399</v>
      </c>
      <c r="D23" s="2">
        <v>1093.2275</v>
      </c>
      <c r="E23" s="2">
        <v>519.0615034126497</v>
      </c>
      <c r="F23" s="2">
        <v>2560.2249999999999</v>
      </c>
      <c r="G23" s="2">
        <v>951.55899999999997</v>
      </c>
      <c r="H23" s="2">
        <v>620.38</v>
      </c>
      <c r="I23" s="2">
        <v>464.58749531170128</v>
      </c>
    </row>
    <row r="24" spans="1:9">
      <c r="A24" s="1">
        <v>9.0764999999999993</v>
      </c>
      <c r="B24" s="2">
        <v>659.47249999999997</v>
      </c>
      <c r="C24" s="2">
        <v>316.05067472110653</v>
      </c>
      <c r="D24" s="2">
        <v>891.65</v>
      </c>
      <c r="E24" s="2">
        <v>486.8781880511799</v>
      </c>
      <c r="F24" s="2">
        <v>2074.88</v>
      </c>
      <c r="G24" s="2">
        <v>834.66399999999999</v>
      </c>
      <c r="H24" s="2">
        <v>507.4425</v>
      </c>
      <c r="I24" s="2">
        <v>400.11599850335068</v>
      </c>
    </row>
    <row r="25" spans="1:9">
      <c r="A25" s="1">
        <v>10.085000000000001</v>
      </c>
      <c r="B25" s="2">
        <v>504.2</v>
      </c>
      <c r="C25" s="2">
        <v>209.76927007230267</v>
      </c>
      <c r="D25" s="2">
        <v>672.11500000000001</v>
      </c>
      <c r="E25" s="2">
        <v>451.49592360655186</v>
      </c>
      <c r="F25" s="2">
        <v>1633.9349999999999</v>
      </c>
      <c r="G25" s="2">
        <v>706.52300000000002</v>
      </c>
      <c r="H25" s="2">
        <v>414.54500000000002</v>
      </c>
      <c r="I25" s="2">
        <v>341.88680968024096</v>
      </c>
    </row>
    <row r="26" spans="1:9">
      <c r="A26" s="1">
        <v>11.093499999999999</v>
      </c>
      <c r="B26" s="2">
        <v>426.79250000000002</v>
      </c>
      <c r="C26" s="2">
        <v>173.95942800453975</v>
      </c>
      <c r="D26" s="2">
        <v>494.39249999999998</v>
      </c>
      <c r="E26" s="2">
        <v>403.12290258885901</v>
      </c>
      <c r="F26" s="2">
        <v>1378.1125</v>
      </c>
      <c r="G26" s="2">
        <v>617.42600000000004</v>
      </c>
      <c r="H26" s="2">
        <v>358.67750000000001</v>
      </c>
      <c r="I26" s="2">
        <v>281.39107067981621</v>
      </c>
    </row>
    <row r="27" spans="1:9">
      <c r="A27" s="1">
        <v>12.102</v>
      </c>
      <c r="B27" s="2">
        <v>360.87</v>
      </c>
      <c r="C27" s="2">
        <v>194.8720711988594</v>
      </c>
      <c r="D27" s="2">
        <v>434.69499999999999</v>
      </c>
      <c r="E27" s="2">
        <v>295.77076027446213</v>
      </c>
      <c r="F27" s="2">
        <v>1256.835</v>
      </c>
      <c r="G27" s="2">
        <v>511.339</v>
      </c>
      <c r="H27" s="2">
        <v>323.8075</v>
      </c>
      <c r="I27" s="2">
        <v>213.13283164496266</v>
      </c>
    </row>
    <row r="28" spans="1:9">
      <c r="A28" s="1">
        <v>13.1105</v>
      </c>
      <c r="B28" s="2">
        <v>320.10750000000002</v>
      </c>
      <c r="C28" s="2">
        <v>183.03164915299936</v>
      </c>
      <c r="D28" s="2">
        <v>410.01249999999999</v>
      </c>
      <c r="E28" s="2">
        <v>249.65442740916896</v>
      </c>
      <c r="F28" s="2">
        <v>1145.1875</v>
      </c>
      <c r="G28" s="2">
        <v>399.59199999999998</v>
      </c>
      <c r="H28" s="2">
        <v>321.01</v>
      </c>
      <c r="I28" s="2">
        <v>162.42056478988945</v>
      </c>
    </row>
    <row r="29" spans="1:9">
      <c r="A29" s="1">
        <v>14.119</v>
      </c>
      <c r="B29" s="2">
        <v>263.07</v>
      </c>
      <c r="C29" s="2">
        <v>147.70319382689959</v>
      </c>
      <c r="D29" s="2">
        <v>385.64249999999998</v>
      </c>
      <c r="E29" s="2">
        <v>210.47521530653759</v>
      </c>
      <c r="F29" s="2">
        <v>1051.0525</v>
      </c>
      <c r="G29" s="2">
        <v>340.75099999999998</v>
      </c>
      <c r="H29" s="2">
        <v>318.08499999999998</v>
      </c>
      <c r="I29" s="2">
        <v>106.15669408944505</v>
      </c>
    </row>
    <row r="30" spans="1:9">
      <c r="A30" s="1">
        <v>15.1275</v>
      </c>
      <c r="B30" s="2">
        <v>221.27475000000001</v>
      </c>
      <c r="C30" s="2">
        <v>108.32811277126233</v>
      </c>
      <c r="D30" s="2">
        <v>359.32</v>
      </c>
      <c r="E30" s="2">
        <v>219.2453347280165</v>
      </c>
      <c r="F30" s="2">
        <v>961.11500000000001</v>
      </c>
      <c r="G30" s="2">
        <v>306.24200000000002</v>
      </c>
      <c r="H30" s="2">
        <v>291.11500000000001</v>
      </c>
      <c r="I30" s="2">
        <v>71.391472646715016</v>
      </c>
    </row>
    <row r="31" spans="1:9">
      <c r="A31" s="1">
        <v>16.135999999999999</v>
      </c>
      <c r="B31" s="2">
        <v>210.32849999999999</v>
      </c>
      <c r="C31" s="2">
        <v>117.7745480802198</v>
      </c>
      <c r="D31" s="2">
        <v>323.1275</v>
      </c>
      <c r="E31" s="2">
        <v>217.96825072702677</v>
      </c>
      <c r="F31" s="2">
        <v>887.6875</v>
      </c>
      <c r="G31" s="2">
        <v>299.97399999999999</v>
      </c>
      <c r="H31" s="2">
        <v>226.97925000000001</v>
      </c>
      <c r="I31" s="2">
        <v>67.908468489455188</v>
      </c>
    </row>
    <row r="32" spans="1:9">
      <c r="A32" s="1">
        <v>17.144500000000001</v>
      </c>
      <c r="B32" s="2"/>
      <c r="C32" s="2"/>
      <c r="D32" s="2">
        <v>269.02999999999997</v>
      </c>
      <c r="E32" s="2">
        <v>192.45</v>
      </c>
      <c r="F32" s="2">
        <v>783.327</v>
      </c>
      <c r="G32" s="2">
        <v>266.72800000000001</v>
      </c>
      <c r="H32" s="2">
        <v>146.637</v>
      </c>
      <c r="I32" s="2">
        <v>65.499200000000002</v>
      </c>
    </row>
    <row r="33" spans="1:45">
      <c r="A33" s="1">
        <v>18.152999999999999</v>
      </c>
      <c r="B33" s="2"/>
      <c r="C33" s="2"/>
      <c r="D33" s="2">
        <v>215.59299999999999</v>
      </c>
      <c r="E33" s="2">
        <v>173.12700000000001</v>
      </c>
      <c r="F33" s="2">
        <v>674.60500000000002</v>
      </c>
      <c r="G33" s="2">
        <v>228.36500000000001</v>
      </c>
      <c r="H33" s="2">
        <v>78.257499999999993</v>
      </c>
      <c r="I33" s="2">
        <v>58.916800000000002</v>
      </c>
    </row>
    <row r="34" spans="1:45">
      <c r="A34" s="1">
        <v>19.1615</v>
      </c>
      <c r="B34" s="2"/>
      <c r="C34" s="2"/>
      <c r="D34" s="2">
        <v>205.11</v>
      </c>
      <c r="E34" s="2">
        <v>164.90899999999999</v>
      </c>
      <c r="F34" s="2">
        <v>575.59699999999998</v>
      </c>
      <c r="G34" s="2">
        <v>226.71600000000001</v>
      </c>
      <c r="H34" s="2">
        <v>22.237300000000001</v>
      </c>
      <c r="I34" s="2">
        <v>2.4917799999999999</v>
      </c>
    </row>
    <row r="35" spans="1:45">
      <c r="A35" s="1">
        <v>20.170000000000002</v>
      </c>
      <c r="B35" s="2"/>
      <c r="C35" s="2"/>
      <c r="D35" s="2">
        <v>176.858</v>
      </c>
      <c r="E35" s="2">
        <v>130.14400000000001</v>
      </c>
      <c r="F35" s="2">
        <v>423.608</v>
      </c>
      <c r="G35" s="2">
        <v>191.50399999999999</v>
      </c>
      <c r="H35" s="2"/>
      <c r="I35" s="2"/>
    </row>
    <row r="36" spans="1:45">
      <c r="A36" s="1">
        <v>21.1785</v>
      </c>
      <c r="B36" s="2"/>
      <c r="C36" s="2"/>
      <c r="D36" s="2"/>
      <c r="E36" s="2"/>
      <c r="F36" s="2">
        <v>349.88499999999999</v>
      </c>
      <c r="G36" s="2">
        <v>111.79</v>
      </c>
      <c r="H36" s="2"/>
      <c r="I36" s="2"/>
      <c r="AA36">
        <v>0</v>
      </c>
      <c r="AO36" t="e">
        <f>P36/AH36</f>
        <v>#DIV/0!</v>
      </c>
      <c r="AR36">
        <f>AVERAGE(G32,P36,Y36,AH36)</f>
        <v>266.72800000000001</v>
      </c>
      <c r="AS36">
        <v>85</v>
      </c>
    </row>
    <row r="37" spans="1:45">
      <c r="B37" s="2"/>
      <c r="C37" s="2"/>
      <c r="D37" s="2"/>
      <c r="E37" s="2"/>
      <c r="F37" s="2"/>
      <c r="G37" s="2"/>
      <c r="H37" s="2"/>
      <c r="I37" s="2"/>
      <c r="AA37">
        <v>0</v>
      </c>
      <c r="AO37" t="e">
        <f>P37/AH37</f>
        <v>#DIV/0!</v>
      </c>
      <c r="AR37">
        <f>AVERAGE(G33,P37,Y37,AH37)</f>
        <v>228.36500000000001</v>
      </c>
      <c r="AS37">
        <v>90</v>
      </c>
    </row>
    <row r="38" spans="1:45">
      <c r="B38" s="2"/>
      <c r="C38" s="2"/>
      <c r="D38" s="2"/>
      <c r="E38" s="2"/>
      <c r="F38" s="2"/>
      <c r="G38" s="2"/>
      <c r="H38" s="2"/>
      <c r="I38" s="2"/>
      <c r="AA38">
        <v>0</v>
      </c>
      <c r="AO38" t="e">
        <f>P38/AH38</f>
        <v>#DIV/0!</v>
      </c>
      <c r="AR38">
        <f>AVERAGE(G34,P38,Y38,AH38)</f>
        <v>226.71600000000001</v>
      </c>
      <c r="AS38">
        <v>95</v>
      </c>
    </row>
    <row r="39" spans="1:45">
      <c r="B39" s="2"/>
      <c r="C39" s="2"/>
      <c r="D39" s="2"/>
      <c r="E39" s="2"/>
      <c r="F39" s="2"/>
      <c r="G39" s="2"/>
      <c r="H39" s="2"/>
      <c r="I39" s="2"/>
      <c r="AA39">
        <v>0</v>
      </c>
      <c r="AR39">
        <f>AVERAGE(G35,P39,Y39,AH39)</f>
        <v>191.50399999999999</v>
      </c>
      <c r="AS39">
        <v>100</v>
      </c>
    </row>
    <row r="40" spans="1:45">
      <c r="B40" s="2"/>
      <c r="C40" s="2"/>
      <c r="D40" s="2"/>
      <c r="E40" s="2"/>
      <c r="F40" s="2"/>
      <c r="G40" s="2"/>
      <c r="H40" s="2"/>
      <c r="I40" s="2"/>
      <c r="AA40">
        <v>0</v>
      </c>
      <c r="AR40">
        <f>AVERAGE(G36,P40,Y40,AH40)</f>
        <v>111.79</v>
      </c>
      <c r="AS40">
        <v>105</v>
      </c>
    </row>
    <row r="41" spans="1:45">
      <c r="B41" s="2"/>
      <c r="C41" s="2"/>
      <c r="D41" s="2"/>
      <c r="E41" s="2"/>
      <c r="F41" s="2"/>
      <c r="G41" s="2"/>
      <c r="H41" s="2"/>
      <c r="I41" s="2"/>
      <c r="AS41">
        <v>110</v>
      </c>
    </row>
    <row r="42" spans="1:45">
      <c r="B42" s="2"/>
      <c r="C42" s="2"/>
      <c r="D42" s="2"/>
      <c r="E42" s="2"/>
      <c r="F42" s="2"/>
      <c r="G42" s="2"/>
      <c r="H42" s="2"/>
      <c r="I42" s="2"/>
      <c r="AS42">
        <v>115</v>
      </c>
    </row>
    <row r="43" spans="1:45">
      <c r="AS43">
        <v>120</v>
      </c>
    </row>
  </sheetData>
  <sheetProtection selectLockedCells="1" selectUnlockedCells="1"/>
  <phoneticPr fontId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持田 裕介(is0582vs)</cp:lastModifiedBy>
  <dcterms:created xsi:type="dcterms:W3CDTF">2025-05-18T07:11:42Z</dcterms:created>
  <dcterms:modified xsi:type="dcterms:W3CDTF">2025-06-25T14:01:31Z</dcterms:modified>
</cp:coreProperties>
</file>